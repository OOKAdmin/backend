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OK SITE\calculator\theory\RIGGING\"/>
    </mc:Choice>
  </mc:AlternateContent>
  <xr:revisionPtr revIDLastSave="0" documentId="13_ncr:1_{BA4135DB-007A-424F-9D9F-F6C3C6943B0B}" xr6:coauthVersionLast="47" xr6:coauthVersionMax="47" xr10:uidLastSave="{00000000-0000-0000-0000-000000000000}"/>
  <bookViews>
    <workbookView xWindow="-108" yWindow="-108" windowWidth="23256" windowHeight="12456" xr2:uid="{D990EB8F-4708-4EBD-AB37-5577CD69F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1" l="1"/>
  <c r="B36" i="1"/>
  <c r="B34" i="1"/>
  <c r="B33" i="1"/>
  <c r="B32" i="1"/>
  <c r="B31" i="1"/>
  <c r="B29" i="1"/>
  <c r="B28" i="1"/>
  <c r="B27" i="1"/>
  <c r="B26" i="1"/>
</calcChain>
</file>

<file path=xl/sharedStrings.xml><?xml version="1.0" encoding="utf-8"?>
<sst xmlns="http://schemas.openxmlformats.org/spreadsheetml/2006/main" count="57" uniqueCount="34">
  <si>
    <t>4 Point Rigging Calculator</t>
  </si>
  <si>
    <t>W (WEIGHT OF CARGO)</t>
  </si>
  <si>
    <t>COG(CENTER OF GRAVITY)</t>
  </si>
  <si>
    <t>DT2 (TOTAL DISTANCE FOR D3 &amp; D4)</t>
  </si>
  <si>
    <t>DT1 (TOTAL DISTANCE FOR D1 &amp; D3)</t>
  </si>
  <si>
    <t>D3 (DISTANCE OF COG FROM LIFTING POINT 1 &amp; 3)</t>
  </si>
  <si>
    <t>D2 (DISTANCE OF COG FROM LIFTING POINT 3)</t>
  </si>
  <si>
    <t>D1 (DISTANCE OF COG FROM LIFTING POINT 1)</t>
  </si>
  <si>
    <t>S4 (SLING LENGTH L4)</t>
  </si>
  <si>
    <t>S3 (SLING LENGTH L3)</t>
  </si>
  <si>
    <t>S2 (SLING LENGTH L2)</t>
  </si>
  <si>
    <t>S1 (SLING LENGTH L1)</t>
  </si>
  <si>
    <t>TENSION AT SLING1</t>
  </si>
  <si>
    <t>D4 (DISTANCE OF COG FROM LIFTING POINT 2 &amp; 4)</t>
  </si>
  <si>
    <t>RW2 RIGGING ESTIMATE WEIGHT</t>
  </si>
  <si>
    <t>RW4 RIGGING ESTIMATE WEIGHT</t>
  </si>
  <si>
    <t>RW3 RIGGING ESTIMATE WEIGHT</t>
  </si>
  <si>
    <t>TENSION AT SLING2</t>
  </si>
  <si>
    <t>TENSION AT SLING3</t>
  </si>
  <si>
    <t>TENSION AT SLING4</t>
  </si>
  <si>
    <t>LOAD AT L1 (LIFTING POINT1)</t>
  </si>
  <si>
    <t>LOAD AT L2 (LIFTING POINT2)</t>
  </si>
  <si>
    <t>LOAD AT L4 (LIFTING POINT4)</t>
  </si>
  <si>
    <t>LOAD AT L3 (LIFTING POINT3)</t>
  </si>
  <si>
    <t>SAFETY FACTOR OF SLING</t>
  </si>
  <si>
    <t>SAFETY FACTOR OF SHACKLE</t>
  </si>
  <si>
    <t>RW1 RIGGING EQUIPMENT (SLING, SHACKLE)ESTIMATE WEIGHT</t>
  </si>
  <si>
    <t>INPUT</t>
  </si>
  <si>
    <t>WLL(WORK LOAD LIMIT) OF SLING</t>
  </si>
  <si>
    <t>WLL(WORK LOAD LIMIT) OF SHACKLE</t>
  </si>
  <si>
    <t>m</t>
  </si>
  <si>
    <t>t</t>
  </si>
  <si>
    <t>t=ton</t>
  </si>
  <si>
    <t>m=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</si>
</sst>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129775</xdr:colOff>
      <xdr:row>6</xdr:row>
      <xdr:rowOff>80683</xdr:rowOff>
    </xdr:from>
    <xdr:to>
      <xdr:col>8</xdr:col>
      <xdr:colOff>422492</xdr:colOff>
      <xdr:row>20</xdr:row>
      <xdr:rowOff>85837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47922-061E-A303-3136-2F5B9FB82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9718" y="1169254"/>
          <a:ext cx="3340717" cy="2726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3999-40C6-4846-875D-549198CF598D}">
  <dimension ref="A1:G37"/>
  <sheetViews>
    <sheetView tabSelected="1" zoomScale="83" zoomScaleNormal="130" workbookViewId="0">
      <selection activeCell="D28" sqref="D28"/>
    </sheetView>
  </sheetViews>
  <sheetFormatPr defaultRowHeight="14.4" x14ac:dyDescent="0.3"/>
  <cols>
    <col min="1" max="1" width="44.33203125" bestFit="1" customWidth="1"/>
  </cols>
  <sheetData>
    <row r="1" spans="1:7" ht="14.4" customHeight="1" x14ac:dyDescent="0.3">
      <c r="A1" s="5" t="s">
        <v>0</v>
      </c>
      <c r="B1" s="5"/>
      <c r="C1" s="5"/>
      <c r="D1" s="5"/>
      <c r="E1" s="5"/>
      <c r="F1" s="5"/>
      <c r="G1" s="5"/>
    </row>
    <row r="2" spans="1:7" ht="14.4" customHeight="1" x14ac:dyDescent="0.3">
      <c r="A2" s="5"/>
      <c r="B2" s="5"/>
      <c r="C2" s="5"/>
      <c r="D2" s="5"/>
      <c r="E2" s="5"/>
      <c r="F2" s="5"/>
      <c r="G2" s="5"/>
    </row>
    <row r="3" spans="1:7" ht="14.4" customHeight="1" x14ac:dyDescent="0.3">
      <c r="A3" s="5"/>
      <c r="B3" s="5"/>
      <c r="C3" s="5"/>
      <c r="D3" s="5"/>
      <c r="E3" s="5"/>
      <c r="F3" s="5"/>
      <c r="G3" s="5"/>
    </row>
    <row r="4" spans="1:7" ht="14.4" customHeight="1" x14ac:dyDescent="0.3">
      <c r="A4" s="5"/>
      <c r="B4" s="5"/>
      <c r="C4" s="5"/>
      <c r="D4" s="5"/>
      <c r="E4" s="5"/>
      <c r="F4" s="5"/>
      <c r="G4" s="5"/>
    </row>
    <row r="6" spans="1:7" x14ac:dyDescent="0.3">
      <c r="A6" s="2" t="s">
        <v>27</v>
      </c>
      <c r="B6" s="2"/>
    </row>
    <row r="7" spans="1:7" x14ac:dyDescent="0.3">
      <c r="A7" s="2" t="s">
        <v>1</v>
      </c>
      <c r="B7" s="3">
        <v>20</v>
      </c>
      <c r="C7" t="s">
        <v>31</v>
      </c>
    </row>
    <row r="8" spans="1:7" x14ac:dyDescent="0.3">
      <c r="A8" s="2" t="s">
        <v>2</v>
      </c>
      <c r="B8" s="6"/>
    </row>
    <row r="9" spans="1:7" x14ac:dyDescent="0.3">
      <c r="A9" s="2" t="s">
        <v>7</v>
      </c>
      <c r="B9" s="3">
        <v>4.6210000000000004</v>
      </c>
      <c r="C9" t="s">
        <v>30</v>
      </c>
    </row>
    <row r="10" spans="1:7" x14ac:dyDescent="0.3">
      <c r="A10" s="2" t="s">
        <v>6</v>
      </c>
      <c r="B10" s="3">
        <v>5</v>
      </c>
      <c r="C10" t="s">
        <v>30</v>
      </c>
    </row>
    <row r="11" spans="1:7" x14ac:dyDescent="0.3">
      <c r="A11" s="2" t="s">
        <v>5</v>
      </c>
      <c r="B11" s="3">
        <v>2.98</v>
      </c>
      <c r="C11" t="s">
        <v>30</v>
      </c>
    </row>
    <row r="12" spans="1:7" x14ac:dyDescent="0.3">
      <c r="A12" s="2" t="s">
        <v>13</v>
      </c>
      <c r="B12" s="3">
        <v>3</v>
      </c>
      <c r="C12" t="s">
        <v>30</v>
      </c>
    </row>
    <row r="13" spans="1:7" x14ac:dyDescent="0.3">
      <c r="A13" s="2" t="s">
        <v>4</v>
      </c>
      <c r="B13" s="3">
        <v>9.6210000000000004</v>
      </c>
      <c r="C13" t="s">
        <v>30</v>
      </c>
    </row>
    <row r="14" spans="1:7" x14ac:dyDescent="0.3">
      <c r="A14" s="2" t="s">
        <v>3</v>
      </c>
      <c r="B14" s="3">
        <v>5.98</v>
      </c>
      <c r="C14" t="s">
        <v>30</v>
      </c>
    </row>
    <row r="15" spans="1:7" x14ac:dyDescent="0.3">
      <c r="A15" s="2" t="s">
        <v>11</v>
      </c>
      <c r="B15" s="3">
        <v>10.146000000000001</v>
      </c>
      <c r="C15" t="s">
        <v>30</v>
      </c>
    </row>
    <row r="16" spans="1:7" x14ac:dyDescent="0.3">
      <c r="A16" s="2" t="s">
        <v>10</v>
      </c>
      <c r="B16" s="3">
        <v>10.146000000000001</v>
      </c>
      <c r="C16" t="s">
        <v>30</v>
      </c>
    </row>
    <row r="17" spans="1:4" x14ac:dyDescent="0.3">
      <c r="A17" s="2" t="s">
        <v>9</v>
      </c>
      <c r="B17" s="3">
        <v>10.324</v>
      </c>
      <c r="C17" t="s">
        <v>30</v>
      </c>
    </row>
    <row r="18" spans="1:4" x14ac:dyDescent="0.3">
      <c r="A18" s="2" t="s">
        <v>8</v>
      </c>
      <c r="B18" s="3">
        <v>10.324</v>
      </c>
      <c r="C18" t="s">
        <v>30</v>
      </c>
    </row>
    <row r="19" spans="1:4" ht="28.8" x14ac:dyDescent="0.3">
      <c r="A19" s="4" t="s">
        <v>26</v>
      </c>
      <c r="B19" s="3">
        <v>0.15</v>
      </c>
      <c r="C19" t="s">
        <v>31</v>
      </c>
    </row>
    <row r="20" spans="1:4" x14ac:dyDescent="0.3">
      <c r="A20" s="2" t="s">
        <v>14</v>
      </c>
      <c r="B20" s="3">
        <v>0.15</v>
      </c>
      <c r="C20" t="s">
        <v>31</v>
      </c>
    </row>
    <row r="21" spans="1:4" x14ac:dyDescent="0.3">
      <c r="A21" s="2" t="s">
        <v>16</v>
      </c>
      <c r="B21" s="3">
        <v>0.16500000000000001</v>
      </c>
      <c r="C21" t="s">
        <v>31</v>
      </c>
    </row>
    <row r="22" spans="1:4" x14ac:dyDescent="0.3">
      <c r="A22" s="2" t="s">
        <v>15</v>
      </c>
      <c r="B22" s="3">
        <v>0.16500000000000001</v>
      </c>
      <c r="C22" t="s">
        <v>31</v>
      </c>
    </row>
    <row r="23" spans="1:4" x14ac:dyDescent="0.3">
      <c r="A23" s="2" t="s">
        <v>28</v>
      </c>
      <c r="B23" s="3">
        <v>10</v>
      </c>
      <c r="C23" t="s">
        <v>31</v>
      </c>
    </row>
    <row r="24" spans="1:4" x14ac:dyDescent="0.3">
      <c r="A24" s="2" t="s">
        <v>29</v>
      </c>
      <c r="B24" s="3">
        <v>8.5</v>
      </c>
      <c r="C24" t="s">
        <v>31</v>
      </c>
    </row>
    <row r="26" spans="1:4" x14ac:dyDescent="0.3">
      <c r="A26" t="s">
        <v>12</v>
      </c>
      <c r="B26" s="1">
        <f xml:space="preserve"> ((B7 + B19) * (B10 / B13) * (B12 / B14)) * (B15 / SQRT(B15^2 - (B9^2 + B11^2)))</f>
        <v>6.2510192293163804</v>
      </c>
      <c r="C26" t="s">
        <v>31</v>
      </c>
    </row>
    <row r="27" spans="1:4" x14ac:dyDescent="0.3">
      <c r="A27" t="s">
        <v>17</v>
      </c>
      <c r="B27" s="1">
        <f xml:space="preserve"> ((B7 + B20) * (B10 / B13) * (B11 / B14)) * (B16 / SQRT(B16^2 - (B9^2 + B12^2)))</f>
        <v>6.2144591158970561</v>
      </c>
      <c r="C27" t="s">
        <v>31</v>
      </c>
      <c r="D27" t="s">
        <v>32</v>
      </c>
    </row>
    <row r="28" spans="1:4" x14ac:dyDescent="0.3">
      <c r="A28" t="s">
        <v>18</v>
      </c>
      <c r="B28" s="1">
        <f xml:space="preserve"> ((B7 + B21) * (B9 / B13) * (B12 / B14)) * (B17 / SQRT(B17^2 - (B10^2 + B11^2)))</f>
        <v>5.8830315002120326</v>
      </c>
      <c r="C28" t="s">
        <v>31</v>
      </c>
      <c r="D28" t="s">
        <v>33</v>
      </c>
    </row>
    <row r="29" spans="1:4" x14ac:dyDescent="0.3">
      <c r="A29" t="s">
        <v>19</v>
      </c>
      <c r="B29" s="1">
        <f xml:space="preserve"> ((B7 + B22) * (B9 / B13) * (B11 / B14)) * (B18 / SQRT(B18^2 - (B10^2 + B12^2)))</f>
        <v>5.8486238023793398</v>
      </c>
      <c r="C29" t="s">
        <v>31</v>
      </c>
    </row>
    <row r="31" spans="1:4" x14ac:dyDescent="0.3">
      <c r="A31" t="s">
        <v>20</v>
      </c>
      <c r="B31" s="1">
        <f xml:space="preserve"> (B7 + B19) * (B10 /B13) * (B12 / B14)</f>
        <v>5.2534537221566948</v>
      </c>
      <c r="C31" t="s">
        <v>31</v>
      </c>
    </row>
    <row r="32" spans="1:4" x14ac:dyDescent="0.3">
      <c r="A32" t="s">
        <v>21</v>
      </c>
      <c r="B32" s="1">
        <f xml:space="preserve"> (B7 + B20) * (B10 /B13) * (B11 / B14)</f>
        <v>5.218430697342316</v>
      </c>
      <c r="C32" t="s">
        <v>31</v>
      </c>
    </row>
    <row r="33" spans="1:3" x14ac:dyDescent="0.3">
      <c r="A33" t="s">
        <v>23</v>
      </c>
      <c r="B33" s="1">
        <f xml:space="preserve"> (B7 + B21) * (B9 /B13) * (B12 / B14)</f>
        <v>4.8588562540346008</v>
      </c>
      <c r="C33" t="s">
        <v>31</v>
      </c>
    </row>
    <row r="34" spans="1:3" x14ac:dyDescent="0.3">
      <c r="A34" t="s">
        <v>22</v>
      </c>
      <c r="B34" s="1">
        <f xml:space="preserve"> (B7 + B22) * (B9 /B13) * (B11 / B14)</f>
        <v>4.8264638790077026</v>
      </c>
      <c r="C34" t="s">
        <v>31</v>
      </c>
    </row>
    <row r="36" spans="1:3" x14ac:dyDescent="0.3">
      <c r="A36" t="s">
        <v>24</v>
      </c>
      <c r="B36" s="1">
        <f>B23/MAX(B26, B27, B28,B29)</f>
        <v>1.5997391198384801</v>
      </c>
    </row>
    <row r="37" spans="1:3" x14ac:dyDescent="0.3">
      <c r="A37" t="s">
        <v>25</v>
      </c>
      <c r="B37" s="1">
        <f>B24/MAX(B26, B27, B28,B29)</f>
        <v>1.359778251862708</v>
      </c>
    </row>
  </sheetData>
  <mergeCells count="1">
    <mergeCell ref="A1:G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</dc:creator>
  <cp:lastModifiedBy>Himanshu Gupta</cp:lastModifiedBy>
  <dcterms:created xsi:type="dcterms:W3CDTF">2025-09-29T15:20:55Z</dcterms:created>
  <dcterms:modified xsi:type="dcterms:W3CDTF">2025-10-26T13:24:18Z</dcterms:modified>
</cp:coreProperties>
</file>