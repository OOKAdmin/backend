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OK SITE\calculator\theory\RIGGING\"/>
    </mc:Choice>
  </mc:AlternateContent>
  <xr:revisionPtr revIDLastSave="0" documentId="13_ncr:1_{E38820B6-C099-4975-8CA7-2648D7786DEE}" xr6:coauthVersionLast="47" xr6:coauthVersionMax="47" xr10:uidLastSave="{00000000-0000-0000-0000-000000000000}"/>
  <bookViews>
    <workbookView xWindow="-108" yWindow="-108" windowWidth="23256" windowHeight="12456" xr2:uid="{D990EB8F-4708-4EBD-AB37-5577CD69F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  <c r="B36" i="1"/>
  <c r="B35" i="1"/>
  <c r="B43" i="1"/>
  <c r="B42" i="1"/>
  <c r="B40" i="1"/>
  <c r="B39" i="1"/>
  <c r="B28" i="1"/>
  <c r="B33" i="1" s="1"/>
  <c r="B27" i="1"/>
  <c r="B32" i="1" s="1"/>
  <c r="B26" i="1"/>
  <c r="B31" i="1" s="1"/>
  <c r="B25" i="1"/>
  <c r="B30" i="1" s="1"/>
  <c r="B45" i="1" l="1"/>
</calcChain>
</file>

<file path=xl/sharedStrings.xml><?xml version="1.0" encoding="utf-8"?>
<sst xmlns="http://schemas.openxmlformats.org/spreadsheetml/2006/main" count="65" uniqueCount="35">
  <si>
    <t>W (WEIGHT OF CARGO)</t>
  </si>
  <si>
    <t>COG(CENTER OF GRAVITY)</t>
  </si>
  <si>
    <t>DT2 (TOTAL DISTANCE FOR D3 &amp; D4)</t>
  </si>
  <si>
    <t>DT1 (TOTAL DISTANCE FOR D1 &amp; D3)</t>
  </si>
  <si>
    <t>D3 (DISTANCE OF COG FROM LIFTING POINT 1 &amp; 3)</t>
  </si>
  <si>
    <t>D2 (DISTANCE OF COG FROM LIFTING POINT 3)</t>
  </si>
  <si>
    <t>D1 (DISTANCE OF COG FROM LIFTING POINT 1)</t>
  </si>
  <si>
    <t>TENSION AT SLING1</t>
  </si>
  <si>
    <t>D4 (DISTANCE OF COG FROM LIFTING POINT 2 &amp; 4)</t>
  </si>
  <si>
    <t>RW2 RIGGING ESTIMATE WEIGHT</t>
  </si>
  <si>
    <t>RW4 RIGGING ESTIMATE WEIGHT</t>
  </si>
  <si>
    <t>RW3 RIGGING ESTIMATE WEIGHT</t>
  </si>
  <si>
    <t>TENSION AT SLING2</t>
  </si>
  <si>
    <t>TENSION AT SLING3</t>
  </si>
  <si>
    <t>TENSION AT SLING4</t>
  </si>
  <si>
    <t>LOAD AT L1 (LIFTING POINT1)</t>
  </si>
  <si>
    <t>LOAD AT L4 (LIFTING POINT4)</t>
  </si>
  <si>
    <t>LOAD AT L3 (LIFTING POINT3)</t>
  </si>
  <si>
    <t>RW1 RIGGING EQUIPMENT (SLING, SHACKLE)ESTIMATE WEIGHT</t>
  </si>
  <si>
    <t>INPUT</t>
  </si>
  <si>
    <t>4 Point Rigging Calculator With Spreader Bar</t>
  </si>
  <si>
    <t>S W (SPREADER BAR WEIGHT)</t>
  </si>
  <si>
    <t>S2 (SLING LENGTH L2 ABOVE SPREADER BAR)</t>
  </si>
  <si>
    <t>S3 (SLING LENGTH L3 ABOVE SPREADER BAR)</t>
  </si>
  <si>
    <t>S1 (SLING LENGTH L1 BELOW SPREADER BAR)</t>
  </si>
  <si>
    <t>LOAD AT L2 (LIFTING POINT1)</t>
  </si>
  <si>
    <t>WEIGHT OF SPREADER BAR AT L1 &amp; L2</t>
  </si>
  <si>
    <t>WEIGHT OF SPREADER BAR AT L3 &amp; L4</t>
  </si>
  <si>
    <t xml:space="preserve">TW1 (TOTAL LOAD AT L1 &amp; L2) </t>
  </si>
  <si>
    <t>TENSION AT SLING 5</t>
  </si>
  <si>
    <t>TENSION AT SLING 6</t>
  </si>
  <si>
    <t>HEIGHT OF SLING H1</t>
  </si>
  <si>
    <t>HEIGHT OF SLING H2</t>
  </si>
  <si>
    <t>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</si>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</sst>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3" fillId="3" borderId="1" xfId="0" applyFont="1" applyFill="1" applyBorder="1"/>
    <xf numFmtId="0" fontId="0" fillId="2" borderId="0" xfId="0" applyFill="1"/>
    <xf numFmtId="0" fontId="0" fillId="0" borderId="2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292698</xdr:colOff>
      <xdr:row>7</xdr:row>
      <xdr:rowOff>34963</xdr:rowOff>
    </xdr:from>
    <xdr:to>
      <xdr:col>8</xdr:col>
      <xdr:colOff>585415</xdr:colOff>
      <xdr:row>21</xdr:row>
      <xdr:rowOff>40117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47922-061E-A303-3136-2F5B9FB8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278" y="1315123"/>
          <a:ext cx="3340717" cy="2748354"/>
        </a:xfrm>
        <a:prstGeom prst="rect">
          <a:avLst/>
        </a:prstGeom>
      </xdr:spPr>
    </xdr:pic>
    <xdr:clientData/>
  </xdr:twoCellAnchor>
  <xdr:twoCellAnchor editAs="oneCell">
    <xdr:from>
      <xdr:col>3</xdr:col>
      <xdr:colOff>277906</xdr:colOff>
      <xdr:row>21</xdr:row>
      <xdr:rowOff>170330</xdr:rowOff>
    </xdr:from>
    <xdr:to>
      <xdr:col>8</xdr:col>
      <xdr:colOff>154465</xdr:colOff>
      <xdr:row>30</xdr:row>
      <xdr:rowOff>124386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7B8FE-9C6A-F840-6629-DF3B085C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6141" y="4123765"/>
          <a:ext cx="2924559" cy="1567703"/>
        </a:xfrm>
        <a:prstGeom prst="rect">
          <a:avLst/>
        </a:prstGeom>
      </xdr:spPr>
    </xdr:pic>
    <xdr:clientData/>
  </xdr:twoCellAnchor>
  <xdr:twoCellAnchor editAs="oneCell">
    <xdr:from>
      <xdr:col>8</xdr:col>
      <xdr:colOff>568036</xdr:colOff>
      <xdr:row>22</xdr:row>
      <xdr:rowOff>0</xdr:rowOff>
    </xdr:from>
    <xdr:to>
      <xdr:col>13</xdr:col>
      <xdr:colOff>187129</xdr:colOff>
      <xdr:row>29</xdr:row>
      <xdr:rowOff>123875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97C385-33B3-9024-CC9F-953A0C674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9381" y="4239491"/>
          <a:ext cx="2667093" cy="1385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3999-40C6-4846-875D-549198CF598D}">
  <dimension ref="A1:G46"/>
  <sheetViews>
    <sheetView tabSelected="1" topLeftCell="A26" zoomScaleNormal="100" workbookViewId="0">
      <selection activeCell="C44" sqref="C44"/>
    </sheetView>
  </sheetViews>
  <sheetFormatPr defaultRowHeight="14.4" x14ac:dyDescent="0.3"/>
  <cols>
    <col min="1" max="1" width="44.33203125" bestFit="1" customWidth="1"/>
  </cols>
  <sheetData>
    <row r="1" spans="1:7" ht="14.4" customHeight="1" x14ac:dyDescent="0.3">
      <c r="A1" s="7" t="s">
        <v>20</v>
      </c>
      <c r="B1" s="7"/>
      <c r="C1" s="7"/>
      <c r="D1" s="7"/>
      <c r="E1" s="7"/>
      <c r="F1" s="7"/>
      <c r="G1" s="7"/>
    </row>
    <row r="2" spans="1:7" ht="14.4" customHeight="1" x14ac:dyDescent="0.3">
      <c r="A2" s="7"/>
      <c r="B2" s="7"/>
      <c r="C2" s="7"/>
      <c r="D2" s="7"/>
      <c r="E2" s="7"/>
      <c r="F2" s="7"/>
      <c r="G2" s="7"/>
    </row>
    <row r="3" spans="1:7" ht="14.4" customHeight="1" x14ac:dyDescent="0.3">
      <c r="A3" s="7"/>
      <c r="B3" s="7"/>
      <c r="C3" s="7"/>
      <c r="D3" s="7"/>
      <c r="E3" s="7"/>
      <c r="F3" s="7"/>
      <c r="G3" s="7"/>
    </row>
    <row r="4" spans="1:7" ht="14.4" customHeight="1" x14ac:dyDescent="0.3">
      <c r="A4" s="7"/>
      <c r="B4" s="7"/>
      <c r="C4" s="7"/>
      <c r="D4" s="7"/>
      <c r="E4" s="7"/>
      <c r="F4" s="7"/>
      <c r="G4" s="7"/>
    </row>
    <row r="6" spans="1:7" x14ac:dyDescent="0.3">
      <c r="A6" s="1" t="s">
        <v>19</v>
      </c>
      <c r="B6" s="1"/>
    </row>
    <row r="7" spans="1:7" x14ac:dyDescent="0.3">
      <c r="A7" s="1" t="s">
        <v>1</v>
      </c>
      <c r="B7" s="4"/>
    </row>
    <row r="8" spans="1:7" x14ac:dyDescent="0.3">
      <c r="A8" s="1" t="s">
        <v>0</v>
      </c>
      <c r="B8" s="2">
        <v>30</v>
      </c>
      <c r="C8" t="s">
        <v>33</v>
      </c>
    </row>
    <row r="9" spans="1:7" x14ac:dyDescent="0.3">
      <c r="A9" s="1" t="s">
        <v>6</v>
      </c>
      <c r="B9" s="2">
        <v>4</v>
      </c>
      <c r="C9" t="s">
        <v>34</v>
      </c>
    </row>
    <row r="10" spans="1:7" x14ac:dyDescent="0.3">
      <c r="A10" s="1" t="s">
        <v>5</v>
      </c>
      <c r="B10" s="2">
        <v>4.5</v>
      </c>
      <c r="C10" t="s">
        <v>34</v>
      </c>
    </row>
    <row r="11" spans="1:7" x14ac:dyDescent="0.3">
      <c r="A11" s="1" t="s">
        <v>4</v>
      </c>
      <c r="B11" s="2">
        <v>2</v>
      </c>
      <c r="C11" t="s">
        <v>34</v>
      </c>
    </row>
    <row r="12" spans="1:7" x14ac:dyDescent="0.3">
      <c r="A12" s="1" t="s">
        <v>8</v>
      </c>
      <c r="B12" s="2">
        <v>1.5</v>
      </c>
      <c r="C12" t="s">
        <v>34</v>
      </c>
    </row>
    <row r="13" spans="1:7" x14ac:dyDescent="0.3">
      <c r="A13" s="1" t="s">
        <v>3</v>
      </c>
      <c r="B13" s="2">
        <v>8.5</v>
      </c>
      <c r="C13" t="s">
        <v>34</v>
      </c>
    </row>
    <row r="14" spans="1:7" x14ac:dyDescent="0.3">
      <c r="A14" s="1" t="s">
        <v>2</v>
      </c>
      <c r="B14" s="2">
        <v>3.5</v>
      </c>
      <c r="C14" t="s">
        <v>34</v>
      </c>
    </row>
    <row r="15" spans="1:7" x14ac:dyDescent="0.3">
      <c r="A15" s="1" t="s">
        <v>24</v>
      </c>
      <c r="B15" s="2">
        <v>2</v>
      </c>
      <c r="C15" t="s">
        <v>34</v>
      </c>
    </row>
    <row r="16" spans="1:7" x14ac:dyDescent="0.3">
      <c r="A16" s="1" t="s">
        <v>22</v>
      </c>
      <c r="B16" s="2">
        <v>6</v>
      </c>
      <c r="C16" t="s">
        <v>34</v>
      </c>
    </row>
    <row r="17" spans="1:3" x14ac:dyDescent="0.3">
      <c r="A17" s="1" t="s">
        <v>23</v>
      </c>
      <c r="B17" s="2">
        <v>6.5</v>
      </c>
      <c r="C17" t="s">
        <v>34</v>
      </c>
    </row>
    <row r="18" spans="1:3" x14ac:dyDescent="0.3">
      <c r="A18" s="6" t="s">
        <v>21</v>
      </c>
      <c r="B18" s="5">
        <v>2</v>
      </c>
      <c r="C18" t="s">
        <v>33</v>
      </c>
    </row>
    <row r="19" spans="1:3" ht="28.8" x14ac:dyDescent="0.3">
      <c r="A19" s="3" t="s">
        <v>18</v>
      </c>
      <c r="B19" s="2">
        <v>0.2</v>
      </c>
      <c r="C19" t="s">
        <v>33</v>
      </c>
    </row>
    <row r="20" spans="1:3" x14ac:dyDescent="0.3">
      <c r="A20" s="1" t="s">
        <v>9</v>
      </c>
      <c r="B20" s="2">
        <v>0.2</v>
      </c>
      <c r="C20" t="s">
        <v>33</v>
      </c>
    </row>
    <row r="21" spans="1:3" x14ac:dyDescent="0.3">
      <c r="A21" s="1" t="s">
        <v>11</v>
      </c>
      <c r="B21" s="2">
        <v>0.16500000000000001</v>
      </c>
      <c r="C21" t="s">
        <v>33</v>
      </c>
    </row>
    <row r="22" spans="1:3" x14ac:dyDescent="0.3">
      <c r="A22" s="1" t="s">
        <v>10</v>
      </c>
      <c r="B22" s="2">
        <v>0.16500000000000001</v>
      </c>
      <c r="C22" t="s">
        <v>33</v>
      </c>
    </row>
    <row r="25" spans="1:3" x14ac:dyDescent="0.3">
      <c r="A25" t="s">
        <v>15</v>
      </c>
      <c r="B25">
        <f>B8 * (B10 / B13) * (B11 / B14)</f>
        <v>9.0756302521008401</v>
      </c>
      <c r="C25" t="s">
        <v>33</v>
      </c>
    </row>
    <row r="26" spans="1:3" x14ac:dyDescent="0.3">
      <c r="A26" t="s">
        <v>25</v>
      </c>
      <c r="B26">
        <f>B8 * (B10 / B13) * (B12 / B14)</f>
        <v>6.8067226890756301</v>
      </c>
      <c r="C26" t="s">
        <v>33</v>
      </c>
    </row>
    <row r="27" spans="1:3" x14ac:dyDescent="0.3">
      <c r="A27" t="s">
        <v>17</v>
      </c>
      <c r="B27">
        <f>B8 * (B9 / B13) * (B12 / B14)</f>
        <v>6.0504201680672267</v>
      </c>
      <c r="C27" t="s">
        <v>33</v>
      </c>
    </row>
    <row r="28" spans="1:3" x14ac:dyDescent="0.3">
      <c r="A28" t="s">
        <v>16</v>
      </c>
      <c r="B28">
        <f>B8 * (B9 / B13) * (B11 / B14)</f>
        <v>8.0672268907563023</v>
      </c>
      <c r="C28" t="s">
        <v>33</v>
      </c>
    </row>
    <row r="30" spans="1:3" x14ac:dyDescent="0.3">
      <c r="A30" t="s">
        <v>7</v>
      </c>
      <c r="B30">
        <f>B25 * (1 / SIN(RADIANS(90)))</f>
        <v>9.0756302521008401</v>
      </c>
      <c r="C30" t="s">
        <v>33</v>
      </c>
    </row>
    <row r="31" spans="1:3" x14ac:dyDescent="0.3">
      <c r="A31" t="s">
        <v>12</v>
      </c>
      <c r="B31">
        <f>B26 * (1 / SIN(RADIANS(90)))</f>
        <v>6.8067226890756301</v>
      </c>
      <c r="C31" t="s">
        <v>33</v>
      </c>
    </row>
    <row r="32" spans="1:3" x14ac:dyDescent="0.3">
      <c r="A32" t="s">
        <v>13</v>
      </c>
      <c r="B32">
        <f>B27 * (1 / SIN(RADIANS(90)))</f>
        <v>6.0504201680672267</v>
      </c>
      <c r="C32" t="s">
        <v>33</v>
      </c>
    </row>
    <row r="33" spans="1:3" x14ac:dyDescent="0.3">
      <c r="A33" t="s">
        <v>14</v>
      </c>
      <c r="B33">
        <f>B28 * (1 / SIN(RADIANS(90)))</f>
        <v>8.0672268907563023</v>
      </c>
      <c r="C33" t="s">
        <v>33</v>
      </c>
    </row>
    <row r="35" spans="1:3" x14ac:dyDescent="0.3">
      <c r="A35" t="s">
        <v>31</v>
      </c>
      <c r="B35">
        <f>SQRT(B16^2 - B9^2)</f>
        <v>4.4721359549995796</v>
      </c>
      <c r="C35" t="s">
        <v>34</v>
      </c>
    </row>
    <row r="36" spans="1:3" x14ac:dyDescent="0.3">
      <c r="A36" t="s">
        <v>32</v>
      </c>
      <c r="B36">
        <f>SQRT(B17^2 - B10^2)</f>
        <v>4.6904157598234297</v>
      </c>
      <c r="C36" t="s">
        <v>34</v>
      </c>
    </row>
    <row r="39" spans="1:3" x14ac:dyDescent="0.3">
      <c r="A39" t="s">
        <v>26</v>
      </c>
      <c r="B39">
        <f>B18*(B10/B13)</f>
        <v>1.0588235294117647</v>
      </c>
      <c r="C39" t="s">
        <v>33</v>
      </c>
    </row>
    <row r="40" spans="1:3" x14ac:dyDescent="0.3">
      <c r="A40" t="s">
        <v>27</v>
      </c>
      <c r="B40">
        <f>B18*(B9/B13)</f>
        <v>0.94117647058823528</v>
      </c>
      <c r="C40" t="s">
        <v>33</v>
      </c>
    </row>
    <row r="42" spans="1:3" x14ac:dyDescent="0.3">
      <c r="A42" t="s">
        <v>28</v>
      </c>
      <c r="B42">
        <f>B25+B26+B39+B19</f>
        <v>17.141176470588235</v>
      </c>
      <c r="C42" t="s">
        <v>33</v>
      </c>
    </row>
    <row r="43" spans="1:3" x14ac:dyDescent="0.3">
      <c r="A43" t="s">
        <v>28</v>
      </c>
      <c r="B43">
        <f>B27+B28+B40+B20</f>
        <v>15.258823529411764</v>
      </c>
      <c r="C43" t="s">
        <v>33</v>
      </c>
    </row>
    <row r="45" spans="1:3" x14ac:dyDescent="0.3">
      <c r="A45" t="s">
        <v>29</v>
      </c>
      <c r="B45">
        <f>B42*(B16/B35)</f>
        <v>22.997301481533132</v>
      </c>
      <c r="C45" t="s">
        <v>33</v>
      </c>
    </row>
    <row r="46" spans="1:3" x14ac:dyDescent="0.3">
      <c r="A46" t="s">
        <v>30</v>
      </c>
      <c r="B46">
        <f>B43*(B17/B36)</f>
        <v>21.145748696893808</v>
      </c>
      <c r="C46" t="s">
        <v>33</v>
      </c>
    </row>
  </sheetData>
  <mergeCells count="1">
    <mergeCell ref="A1:G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</dc:creator>
  <cp:lastModifiedBy>Himanshu Gupta</cp:lastModifiedBy>
  <dcterms:created xsi:type="dcterms:W3CDTF">2025-09-29T15:20:55Z</dcterms:created>
  <dcterms:modified xsi:type="dcterms:W3CDTF">2025-10-26T13:27:18Z</dcterms:modified>
</cp:coreProperties>
</file>